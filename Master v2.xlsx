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2026 (aktuelles Hausgeld" sheetId="1" r:id="rId5"/>
  </sheets>
  <definedNames/>
  <calcPr/>
</workbook>
</file>

<file path=xl/sharedStrings.xml><?xml version="1.0" encoding="utf-8"?>
<sst xmlns="http://schemas.openxmlformats.org/spreadsheetml/2006/main" count="140" uniqueCount="75">
  <si>
    <t>Besitzübergang am 1.2.2026</t>
  </si>
  <si>
    <t>Einnahmen &amp; Grenzsteuersatz</t>
  </si>
  <si>
    <t>Wert</t>
  </si>
  <si>
    <t>Kaltmiete Wohnung</t>
  </si>
  <si>
    <t>Miete Stellplatz</t>
  </si>
  <si>
    <t>Gesamt</t>
  </si>
  <si>
    <t>Jahresmiete</t>
  </si>
  <si>
    <t>Grenzsteuersatz</t>
  </si>
  <si>
    <t>Finanzierung</t>
  </si>
  <si>
    <t>Monat</t>
  </si>
  <si>
    <t>Jahr</t>
  </si>
  <si>
    <t>Kreditrate</t>
  </si>
  <si>
    <t>Zinsen</t>
  </si>
  <si>
    <t>Tilgung</t>
  </si>
  <si>
    <t>Kaufpreisaufteilung</t>
  </si>
  <si>
    <t>Betrag</t>
  </si>
  <si>
    <t>Anteil</t>
  </si>
  <si>
    <t>Grund und Boden</t>
  </si>
  <si>
    <t>Gebäude</t>
  </si>
  <si>
    <t>Kaufpreis gesamt (inkl. Stellplatz)</t>
  </si>
  <si>
    <t>Stellplatz</t>
  </si>
  <si>
    <t>Wohnung</t>
  </si>
  <si>
    <t>Anschaﬀungskosten</t>
  </si>
  <si>
    <t>Kostenart</t>
  </si>
  <si>
    <t>Grunderwerbsteuer</t>
  </si>
  <si>
    <t>Notar</t>
  </si>
  <si>
    <t>Grundbuch (Landesjustizkasse)</t>
  </si>
  <si>
    <t>Nebenkosten gesamt</t>
  </si>
  <si>
    <t>Eigenprovisionvereinbarung mit Vermittler</t>
  </si>
  <si>
    <t>Eeigenkapital eingebracht</t>
  </si>
  <si>
    <t>AfA</t>
  </si>
  <si>
    <t>AfA-Bemessungsgrundlage</t>
  </si>
  <si>
    <t>AfA-Satz</t>
  </si>
  <si>
    <t>AfA jährlich</t>
  </si>
  <si>
    <t>AfA monatlich</t>
  </si>
  <si>
    <t>Laufende Kosten</t>
  </si>
  <si>
    <t>Gesamtkosten Wohnung</t>
  </si>
  <si>
    <t>Nicht umlagefähige Kosten (WEG)</t>
  </si>
  <si>
    <t>Umlagefähige Kosten</t>
  </si>
  <si>
    <t>Instandhaltungsrücklage</t>
  </si>
  <si>
    <t>Gesamtkosten Stellplatz</t>
  </si>
  <si>
    <t>Gesamtkosten Wohnung &amp; Stellplatz</t>
  </si>
  <si>
    <t>Nicht umlagefähige Kosten (WE &amp; TE)</t>
  </si>
  <si>
    <t>Umlagefähige Kosten (WE &amp; TE)</t>
  </si>
  <si>
    <t>Instandhaltungsrücklage (WE &amp; TE)</t>
  </si>
  <si>
    <t>Andere Kosten</t>
  </si>
  <si>
    <t>Grundsteuer WE</t>
  </si>
  <si>
    <t>Grundsteuer TE</t>
  </si>
  <si>
    <t>Verwaltung</t>
  </si>
  <si>
    <t>Steuerliches Ergebnis pro Jahr Vermietet</t>
  </si>
  <si>
    <t>Steuerliches Ergebnis pro Jahr mit Mietgarantie</t>
  </si>
  <si>
    <t>Position</t>
  </si>
  <si>
    <t>Miete</t>
  </si>
  <si>
    <t>Umlagefähige Kosten (WE)</t>
  </si>
  <si>
    <t>Umlagefähige Kosten (TE)</t>
  </si>
  <si>
    <t>Grundsteuer (TE)</t>
  </si>
  <si>
    <t>Steuerliches Ergebnis</t>
  </si>
  <si>
    <t>Steuerlicher Verlust</t>
  </si>
  <si>
    <t>Steuererstattung Jährlich</t>
  </si>
  <si>
    <t>Steuererstattung monatlich</t>
  </si>
  <si>
    <t>Cashflow pro Monat vermietet</t>
  </si>
  <si>
    <t>Grundsteuer (WE)</t>
  </si>
  <si>
    <t>Instandhaltungsrücklage (WE + TE)</t>
  </si>
  <si>
    <t>Cashflow vor Steuern</t>
  </si>
  <si>
    <t>Steuererstattung (Ø monatlich)</t>
  </si>
  <si>
    <t>Cashflow nach Steuern</t>
  </si>
  <si>
    <t>Monatliche Cashflow Übersicht</t>
  </si>
  <si>
    <t>Februar (Mietgarantie)</t>
  </si>
  <si>
    <t>März (Mietgarantie)</t>
  </si>
  <si>
    <t>April (Mietgarantie)</t>
  </si>
  <si>
    <t>Mai (Mietgarantie)</t>
  </si>
  <si>
    <t>Juni (Vermietet)</t>
  </si>
  <si>
    <t>Juli (Vermietet)</t>
  </si>
  <si>
    <t>Durchschnitt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</si>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</sst>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€&quot;"/>
    <numFmt numFmtId="165" formatCode="#,##0.00&quot;€&quot;"/>
    <numFmt numFmtId="166" formatCode="[$€]#,##0.00"/>
    <numFmt numFmtId="167" formatCode="[$€]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8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top style="thin">
        <color rgb="FF9A9A9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  <border>
      <left style="thin">
        <color rgb="FF000000"/>
      </left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0" fontId="1" numFmtId="164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right" readingOrder="0" vertical="top"/>
    </xf>
    <xf borderId="0" fillId="0" fontId="2" numFmtId="0" xfId="0" applyFont="1"/>
    <xf borderId="1" fillId="0" fontId="2" numFmtId="165" xfId="0" applyAlignment="1" applyBorder="1" applyFont="1" applyNumberFormat="1">
      <alignment horizontal="right" readingOrder="0" vertical="top"/>
    </xf>
    <xf borderId="1" fillId="0" fontId="1" numFmtId="10" xfId="0" applyAlignment="1" applyBorder="1" applyFont="1" applyNumberFormat="1">
      <alignment horizontal="right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4" fillId="0" fontId="1" numFmtId="0" xfId="0" applyAlignment="1" applyBorder="1" applyFont="1">
      <alignment readingOrder="0" vertical="top"/>
    </xf>
    <xf borderId="4" fillId="0" fontId="1" numFmtId="166" xfId="0" applyAlignment="1" applyBorder="1" applyFont="1" applyNumberFormat="1">
      <alignment horizontal="right" readingOrder="0" vertical="top"/>
    </xf>
    <xf borderId="4" fillId="0" fontId="1" numFmtId="166" xfId="0" applyAlignment="1" applyBorder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vertical="top"/>
    </xf>
    <xf borderId="4" fillId="0" fontId="1" numFmtId="164" xfId="0" applyAlignment="1" applyBorder="1" applyFont="1" applyNumberFormat="1">
      <alignment horizontal="right" readingOrder="0" vertical="top"/>
    </xf>
    <xf borderId="4" fillId="0" fontId="1" numFmtId="9" xfId="0" applyAlignment="1" applyBorder="1" applyFont="1" applyNumberFormat="1">
      <alignment horizontal="right" readingOrder="0" vertical="top"/>
    </xf>
    <xf borderId="4" fillId="0" fontId="1" numFmtId="165" xfId="0" applyAlignment="1" applyBorder="1" applyFont="1" applyNumberFormat="1">
      <alignment horizontal="right" readingOrder="0" vertical="top"/>
    </xf>
    <xf borderId="4" fillId="0" fontId="1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3" numFmtId="0" xfId="0" applyAlignment="1" applyBorder="1" applyFont="1">
      <alignment readingOrder="0" vertical="top"/>
    </xf>
    <xf borderId="4" fillId="0" fontId="1" numFmtId="166" xfId="0" applyBorder="1" applyFont="1" applyNumberFormat="1"/>
    <xf borderId="5" fillId="0" fontId="1" numFmtId="0" xfId="0" applyAlignment="1" applyBorder="1" applyFont="1">
      <alignment readingOrder="0" vertical="top"/>
    </xf>
    <xf borderId="4" fillId="0" fontId="1" numFmtId="10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 vertical="top"/>
    </xf>
    <xf borderId="4" fillId="0" fontId="1" numFmtId="167" xfId="0" applyAlignment="1" applyBorder="1" applyFont="1" applyNumberFormat="1">
      <alignment horizontal="right" readingOrder="0" vertical="top"/>
    </xf>
    <xf borderId="6" fillId="0" fontId="2" numFmtId="0" xfId="0" applyAlignment="1" applyBorder="1" applyFont="1">
      <alignment horizontal="center" readingOrder="0" vertical="top"/>
    </xf>
    <xf borderId="4" fillId="0" fontId="4" numFmtId="166" xfId="0" applyAlignment="1" applyBorder="1" applyFont="1" applyNumberFormat="1">
      <alignment readingOrder="0"/>
    </xf>
    <xf borderId="4" fillId="0" fontId="2" numFmtId="166" xfId="0" applyBorder="1" applyFont="1" applyNumberFormat="1"/>
    <xf borderId="6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4" fillId="0" fontId="5" numFmtId="166" xfId="0" applyAlignment="1" applyBorder="1" applyFont="1" applyNumberFormat="1">
      <alignment readingOrder="0"/>
    </xf>
    <xf borderId="6" fillId="0" fontId="1" numFmtId="166" xfId="0" applyAlignment="1" applyBorder="1" applyFont="1" applyNumberFormat="1">
      <alignment readingOrder="0"/>
    </xf>
    <xf borderId="4" fillId="0" fontId="6" numFmtId="166" xfId="0" applyAlignment="1" applyBorder="1" applyFont="1" applyNumberFormat="1">
      <alignment horizontal="right" vertical="bottom"/>
    </xf>
    <xf borderId="6" fillId="0" fontId="6" numFmtId="166" xfId="0" applyAlignment="1" applyBorder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6" fillId="0" fontId="1" numFmtId="166" xfId="0" applyBorder="1" applyFont="1" applyNumberFormat="1"/>
    <xf borderId="6" fillId="0" fontId="2" numFmtId="0" xfId="0" applyBorder="1" applyFont="1"/>
    <xf borderId="4" fillId="0" fontId="2" numFmtId="0" xfId="0" applyBorder="1" applyFont="1"/>
    <xf borderId="0" fillId="0" fontId="5" numFmtId="166" xfId="0" applyAlignment="1" applyFont="1" applyNumberFormat="1">
      <alignment readingOrder="0"/>
    </xf>
    <xf borderId="7" fillId="0" fontId="2" numFmtId="0" xfId="0" applyAlignment="1" applyBorder="1" applyFont="1">
      <alignment horizontal="center" readingOrder="0" vertical="top"/>
    </xf>
    <xf borderId="7" fillId="0" fontId="1" numFmtId="166" xfId="0" applyAlignment="1" applyBorder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4" fillId="0" fontId="1" numFmtId="166" xfId="0" applyAlignment="1" applyBorder="1" applyFont="1" applyNumberFormat="1">
      <alignment horizontal="right" vertical="top"/>
    </xf>
    <xf borderId="7" fillId="0" fontId="1" numFmtId="166" xfId="0" applyAlignment="1" applyBorder="1" applyFont="1" applyNumberFormat="1">
      <alignment horizontal="right" readingOrder="0" vertical="top"/>
    </xf>
    <xf borderId="0" fillId="0" fontId="1" numFmtId="166" xfId="0" applyAlignment="1" applyFont="1" applyNumberFormat="1">
      <alignment horizontal="right" readingOrder="0" vertical="top"/>
    </xf>
    <xf borderId="7" fillId="0" fontId="2" numFmtId="166" xfId="0" applyAlignment="1" applyBorder="1" applyFont="1" applyNumberFormat="1">
      <alignment horizontal="right" readingOrder="0" vertical="top"/>
    </xf>
    <xf borderId="0" fillId="0" fontId="2" numFmtId="166" xfId="0" applyAlignment="1" applyFont="1" applyNumberFormat="1">
      <alignment horizontal="right" readingOrder="0" vertical="top"/>
    </xf>
    <xf borderId="4" fillId="0" fontId="2" numFmtId="0" xfId="0" applyAlignment="1" applyBorder="1" applyFont="1">
      <alignment readingOrder="0" vertical="top"/>
    </xf>
    <xf borderId="4" fillId="0" fontId="2" numFmtId="166" xfId="0" applyAlignment="1" applyBorder="1" applyFont="1" applyNumberFormat="1">
      <alignment horizontal="right" readingOrder="0" vertical="top"/>
    </xf>
    <xf borderId="4" fillId="0" fontId="1" numFmtId="0" xfId="0" applyBorder="1" applyFont="1"/>
    <xf borderId="1" fillId="0" fontId="1" numFmtId="166" xfId="0" applyAlignment="1" applyBorder="1" applyFont="1" applyNumberFormat="1">
      <alignment readingOrder="0" vertical="top"/>
    </xf>
    <xf borderId="0" fillId="0" fontId="1" numFmtId="10" xfId="0" applyAlignment="1" applyFont="1" applyNumberFormat="1">
      <alignment horizontal="right" readingOrder="0" vertical="top"/>
    </xf>
    <xf borderId="1" fillId="0" fontId="2" numFmtId="165" xfId="0" applyAlignment="1" applyBorder="1" applyFont="1" applyNumberFormat="1">
      <alignment readingOrder="0" vertical="top"/>
    </xf>
    <xf borderId="4" fillId="0" fontId="2" numFmtId="165" xfId="0" applyAlignment="1" applyBorder="1" applyFont="1" applyNumberFormat="1">
      <alignment readingOrder="0" vertical="top"/>
    </xf>
    <xf borderId="1" fillId="0" fontId="1" numFmtId="164" xfId="0" applyAlignment="1" applyBorder="1" applyFont="1" applyNumberFormat="1">
      <alignment readingOrder="0" vertical="top"/>
    </xf>
    <xf borderId="4" fillId="0" fontId="1" numFmtId="164" xfId="0" applyAlignment="1" applyBorder="1" applyFont="1" applyNumberFormat="1">
      <alignment readingOrder="0" vertical="top"/>
    </xf>
    <xf borderId="5" fillId="0" fontId="2" numFmtId="0" xfId="0" applyAlignment="1" applyBorder="1" applyFont="1">
      <alignment horizontal="center" readingOrder="0" vertical="top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2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4" fillId="0" fontId="2" numFmtId="166" xfId="0" applyAlignment="1" applyBorder="1" applyFont="1" applyNumberForma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center" readingOrder="0"/>
    </xf>
    <xf borderId="5" fillId="2" fontId="1" numFmtId="0" xfId="0" applyAlignment="1" applyBorder="1" applyFill="1" applyFont="1">
      <alignment readingOrder="0" vertical="top"/>
    </xf>
    <xf borderId="4" fillId="2" fontId="1" numFmtId="166" xfId="0" applyAlignment="1" applyBorder="1" applyFont="1" applyNumberFormat="1">
      <alignment readingOrder="0"/>
    </xf>
    <xf borderId="4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4.75"/>
    <col customWidth="1" min="3" max="3" width="15.88"/>
    <col customWidth="1" min="4" max="4" width="35.63"/>
    <col customWidth="1" min="5" max="5" width="25.38"/>
    <col customWidth="1" min="10" max="10" width="35.63"/>
    <col customWidth="1" min="11" max="11" width="18.25"/>
    <col customWidth="1" min="17" max="17" width="14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959.0</v>
      </c>
    </row>
    <row r="4">
      <c r="A4" s="3" t="s">
        <v>4</v>
      </c>
      <c r="B4" s="4">
        <v>40.0</v>
      </c>
    </row>
    <row r="5">
      <c r="A5" s="5" t="s">
        <v>5</v>
      </c>
      <c r="B5" s="6">
        <f>SUM(B3:B4)</f>
        <v>999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6</v>
      </c>
      <c r="B6" s="8">
        <f>B5*12</f>
        <v>11988</v>
      </c>
    </row>
    <row r="7">
      <c r="A7" s="3" t="s">
        <v>7</v>
      </c>
      <c r="B7" s="9">
        <v>0.42</v>
      </c>
    </row>
    <row r="9">
      <c r="A9" s="10" t="s">
        <v>8</v>
      </c>
      <c r="B9" s="11" t="s">
        <v>9</v>
      </c>
      <c r="C9" s="12" t="s">
        <v>10</v>
      </c>
      <c r="D9" s="13"/>
    </row>
    <row r="10">
      <c r="A10" s="14" t="s">
        <v>11</v>
      </c>
      <c r="B10" s="15">
        <v>1242.85</v>
      </c>
      <c r="C10" s="16">
        <f t="shared" ref="C10:C12" si="1">B10*12</f>
        <v>14914.2</v>
      </c>
      <c r="D10" s="17"/>
    </row>
    <row r="11">
      <c r="A11" s="14" t="s">
        <v>12</v>
      </c>
      <c r="B11" s="16">
        <v>1003.0</v>
      </c>
      <c r="C11" s="16">
        <f t="shared" si="1"/>
        <v>12036</v>
      </c>
      <c r="D11" s="17"/>
    </row>
    <row r="12">
      <c r="A12" s="14" t="s">
        <v>13</v>
      </c>
      <c r="B12" s="16">
        <v>240.0</v>
      </c>
      <c r="C12" s="16">
        <f t="shared" si="1"/>
        <v>2880</v>
      </c>
      <c r="D12" s="17"/>
    </row>
    <row r="13">
      <c r="D13" s="17"/>
    </row>
    <row r="14">
      <c r="A14" s="12" t="s">
        <v>14</v>
      </c>
      <c r="B14" s="18" t="s">
        <v>15</v>
      </c>
      <c r="C14" s="18" t="s">
        <v>16</v>
      </c>
      <c r="D14" s="17"/>
    </row>
    <row r="15">
      <c r="A15" s="14" t="s">
        <v>17</v>
      </c>
      <c r="B15" s="19">
        <v>50600.0</v>
      </c>
      <c r="C15" s="20">
        <f>B15/B17</f>
        <v>0.1816223977</v>
      </c>
      <c r="D15" s="17"/>
    </row>
    <row r="16">
      <c r="A16" s="14" t="s">
        <v>18</v>
      </c>
      <c r="B16" s="19">
        <v>228000.0</v>
      </c>
      <c r="C16" s="20">
        <f>B16/B17</f>
        <v>0.8183776023</v>
      </c>
      <c r="D16" s="17"/>
    </row>
    <row r="17">
      <c r="A17" s="14" t="s">
        <v>19</v>
      </c>
      <c r="B17" s="21">
        <f t="shared" ref="B17:C17" si="2">SUM(B15:B16)</f>
        <v>278600</v>
      </c>
      <c r="C17" s="20">
        <f t="shared" si="2"/>
        <v>1</v>
      </c>
      <c r="D17" s="17"/>
    </row>
    <row r="19">
      <c r="A19" s="22" t="s">
        <v>20</v>
      </c>
      <c r="B19" s="23">
        <v>15000.0</v>
      </c>
    </row>
    <row r="20">
      <c r="A20" s="22" t="s">
        <v>21</v>
      </c>
      <c r="B20" s="23">
        <v>263600.0</v>
      </c>
    </row>
    <row r="21">
      <c r="A21" s="24" t="s">
        <v>5</v>
      </c>
      <c r="B21" s="23">
        <f>SUM(B19:B20)</f>
        <v>278600</v>
      </c>
    </row>
    <row r="23">
      <c r="A23" s="25" t="s">
        <v>22</v>
      </c>
      <c r="D23" s="17"/>
    </row>
    <row r="24">
      <c r="A24" s="12" t="s">
        <v>23</v>
      </c>
      <c r="B24" s="18" t="s">
        <v>15</v>
      </c>
      <c r="D24" s="17"/>
    </row>
    <row r="25">
      <c r="A25" s="14" t="s">
        <v>24</v>
      </c>
      <c r="B25" s="15">
        <v>15323.0</v>
      </c>
      <c r="D25" s="17"/>
    </row>
    <row r="26">
      <c r="A26" s="14" t="s">
        <v>25</v>
      </c>
      <c r="B26" s="15">
        <v>3631.96</v>
      </c>
      <c r="D26" s="17"/>
    </row>
    <row r="27">
      <c r="A27" s="26" t="s">
        <v>26</v>
      </c>
      <c r="B27" s="15">
        <v>1180.0</v>
      </c>
      <c r="D27" s="17"/>
    </row>
    <row r="28">
      <c r="A28" s="14" t="s">
        <v>27</v>
      </c>
      <c r="B28" s="15">
        <f>SUM(B25:B27)</f>
        <v>20134.96</v>
      </c>
      <c r="D28" s="17"/>
    </row>
    <row r="29">
      <c r="A29" s="24" t="s">
        <v>22</v>
      </c>
      <c r="B29" s="27">
        <f>B16+(B28*C16)</f>
        <v>244478.0003</v>
      </c>
      <c r="D29" s="17"/>
    </row>
    <row r="30">
      <c r="A30" s="24" t="s">
        <v>28</v>
      </c>
      <c r="B30" s="23">
        <v>15000.0</v>
      </c>
      <c r="D30" s="17"/>
    </row>
    <row r="31">
      <c r="A31" s="24" t="s">
        <v>29</v>
      </c>
      <c r="B31" s="27">
        <f>sum(B26:B27)+(B25-B30)</f>
        <v>5134.96</v>
      </c>
      <c r="D31" s="17"/>
    </row>
    <row r="32">
      <c r="A32" s="25"/>
      <c r="D32" s="17"/>
    </row>
    <row r="33">
      <c r="A33" s="2" t="s">
        <v>30</v>
      </c>
      <c r="B33" s="10" t="s">
        <v>2</v>
      </c>
    </row>
    <row r="34">
      <c r="A34" s="28" t="s">
        <v>31</v>
      </c>
      <c r="B34" s="15">
        <f>B29</f>
        <v>244478.0003</v>
      </c>
    </row>
    <row r="35">
      <c r="A35" s="28" t="s">
        <v>32</v>
      </c>
      <c r="B35" s="29">
        <v>0.0384</v>
      </c>
    </row>
    <row r="36">
      <c r="A36" s="30" t="s">
        <v>33</v>
      </c>
      <c r="B36" s="27">
        <f>B34*B35</f>
        <v>9387.955211</v>
      </c>
    </row>
    <row r="37">
      <c r="A37" s="28" t="s">
        <v>34</v>
      </c>
      <c r="B37" s="31">
        <f>B36/12</f>
        <v>782.3296009</v>
      </c>
    </row>
    <row r="39">
      <c r="A39" s="12" t="s">
        <v>35</v>
      </c>
      <c r="B39" s="12" t="s">
        <v>10</v>
      </c>
      <c r="C39" s="12" t="s">
        <v>9</v>
      </c>
      <c r="D39" s="32"/>
    </row>
    <row r="40">
      <c r="A40" s="24" t="s">
        <v>36</v>
      </c>
      <c r="B40" s="33">
        <f t="shared" ref="B40:C40" si="3">SUM(B41:B43)</f>
        <v>4207.03</v>
      </c>
      <c r="C40" s="34">
        <f t="shared" si="3"/>
        <v>350.5858333</v>
      </c>
      <c r="D40" s="35"/>
      <c r="F40" s="36"/>
    </row>
    <row r="41">
      <c r="A41" s="14" t="s">
        <v>37</v>
      </c>
      <c r="B41" s="37">
        <v>1313.0</v>
      </c>
      <c r="C41" s="16">
        <f t="shared" ref="C41:C43" si="4">B41/12</f>
        <v>109.4166667</v>
      </c>
      <c r="D41" s="38"/>
    </row>
    <row r="42">
      <c r="A42" s="14" t="s">
        <v>38</v>
      </c>
      <c r="B42" s="37">
        <v>2707.17</v>
      </c>
      <c r="C42" s="16">
        <f t="shared" si="4"/>
        <v>225.5975</v>
      </c>
      <c r="D42" s="38"/>
    </row>
    <row r="43">
      <c r="A43" s="14" t="s">
        <v>39</v>
      </c>
      <c r="B43" s="37">
        <v>186.86</v>
      </c>
      <c r="C43" s="16">
        <f t="shared" si="4"/>
        <v>15.57166667</v>
      </c>
      <c r="D43" s="38"/>
    </row>
    <row r="44">
      <c r="A44" s="24" t="s">
        <v>40</v>
      </c>
      <c r="B44" s="39">
        <f>C44*12</f>
        <v>233.06</v>
      </c>
      <c r="C44" s="39">
        <f>SUM(C45:C47)</f>
        <v>19.42166667</v>
      </c>
      <c r="D44" s="40"/>
      <c r="E44" s="41"/>
    </row>
    <row r="45">
      <c r="A45" s="14" t="s">
        <v>37</v>
      </c>
      <c r="B45" s="37">
        <v>79.44</v>
      </c>
      <c r="C45" s="27">
        <f t="shared" ref="C45:C47" si="5">B45/12</f>
        <v>6.62</v>
      </c>
      <c r="D45" s="42"/>
      <c r="F45" s="36"/>
    </row>
    <row r="46">
      <c r="A46" s="14" t="s">
        <v>38</v>
      </c>
      <c r="B46" s="37">
        <v>143.52</v>
      </c>
      <c r="C46" s="27">
        <f t="shared" si="5"/>
        <v>11.96</v>
      </c>
      <c r="D46" s="42"/>
      <c r="F46" s="36"/>
    </row>
    <row r="47">
      <c r="A47" s="14" t="s">
        <v>39</v>
      </c>
      <c r="B47" s="37">
        <v>10.1</v>
      </c>
      <c r="C47" s="27">
        <f t="shared" si="5"/>
        <v>0.8416666667</v>
      </c>
      <c r="D47" s="42"/>
      <c r="F47" s="36"/>
    </row>
    <row r="48">
      <c r="A48" s="24" t="s">
        <v>41</v>
      </c>
      <c r="B48" s="34">
        <f t="shared" ref="B48:C48" si="6">SUM(B49:B51)</f>
        <v>4440.09</v>
      </c>
      <c r="C48" s="34">
        <f t="shared" si="6"/>
        <v>370.0075</v>
      </c>
      <c r="D48" s="43"/>
    </row>
    <row r="49">
      <c r="A49" s="22" t="s">
        <v>42</v>
      </c>
      <c r="B49" s="27">
        <f t="shared" ref="B49:C49" si="7">B41+B45</f>
        <v>1392.44</v>
      </c>
      <c r="C49" s="27">
        <f t="shared" si="7"/>
        <v>116.0366667</v>
      </c>
      <c r="D49" s="43"/>
    </row>
    <row r="50">
      <c r="A50" s="22" t="s">
        <v>43</v>
      </c>
      <c r="B50" s="27">
        <f t="shared" ref="B50:C50" si="8">SUM(B42,B46)</f>
        <v>2850.69</v>
      </c>
      <c r="C50" s="27">
        <f t="shared" si="8"/>
        <v>237.5575</v>
      </c>
      <c r="D50" s="43"/>
    </row>
    <row r="51">
      <c r="A51" s="22" t="s">
        <v>44</v>
      </c>
      <c r="B51" s="27">
        <f t="shared" ref="B51:C51" si="9">sum(B43,B47)</f>
        <v>196.96</v>
      </c>
      <c r="C51" s="27">
        <f t="shared" si="9"/>
        <v>16.41333333</v>
      </c>
      <c r="D51" s="43"/>
    </row>
    <row r="52">
      <c r="A52" s="24" t="s">
        <v>45</v>
      </c>
      <c r="B52" s="44"/>
      <c r="C52" s="44"/>
      <c r="D52" s="4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7.25" customHeight="1">
      <c r="A53" s="14" t="s">
        <v>46</v>
      </c>
      <c r="B53" s="16">
        <v>178.12</v>
      </c>
      <c r="C53" s="16">
        <f t="shared" ref="C53:C54" si="10">B53/12</f>
        <v>14.84333333</v>
      </c>
    </row>
    <row r="54" ht="17.25" customHeight="1">
      <c r="A54" s="14" t="s">
        <v>47</v>
      </c>
      <c r="B54" s="16">
        <v>27.0</v>
      </c>
      <c r="C54" s="16">
        <f t="shared" si="10"/>
        <v>2.25</v>
      </c>
      <c r="D54" s="45"/>
    </row>
    <row r="55" ht="17.25" customHeight="1">
      <c r="A55" s="23" t="s">
        <v>48</v>
      </c>
      <c r="B55" s="27">
        <f>C55*12</f>
        <v>396</v>
      </c>
      <c r="C55" s="23">
        <v>33.0</v>
      </c>
      <c r="D55" s="38"/>
    </row>
    <row r="58">
      <c r="D58" s="1"/>
    </row>
    <row r="59">
      <c r="A59" s="25" t="s">
        <v>49</v>
      </c>
      <c r="D59" s="25" t="s">
        <v>50</v>
      </c>
    </row>
    <row r="60">
      <c r="A60" s="2" t="s">
        <v>51</v>
      </c>
      <c r="B60" s="46" t="s">
        <v>15</v>
      </c>
      <c r="D60" s="12" t="s">
        <v>51</v>
      </c>
      <c r="E60" s="12" t="s">
        <v>15</v>
      </c>
    </row>
    <row r="61">
      <c r="A61" s="3" t="s">
        <v>52</v>
      </c>
      <c r="B61" s="47">
        <f>B6</f>
        <v>11988</v>
      </c>
      <c r="C61" s="48"/>
      <c r="D61" s="14" t="s">
        <v>52</v>
      </c>
      <c r="E61" s="49">
        <f>B6</f>
        <v>11988</v>
      </c>
    </row>
    <row r="62">
      <c r="A62" s="3" t="s">
        <v>12</v>
      </c>
      <c r="B62" s="50">
        <f>-C11</f>
        <v>-12036</v>
      </c>
      <c r="C62" s="51"/>
      <c r="D62" s="14" t="s">
        <v>12</v>
      </c>
      <c r="E62" s="15">
        <f>-C11</f>
        <v>-12036</v>
      </c>
    </row>
    <row r="63">
      <c r="A63" s="3" t="s">
        <v>30</v>
      </c>
      <c r="B63" s="50">
        <f>-B36</f>
        <v>-9387.955211</v>
      </c>
      <c r="C63" s="51"/>
      <c r="D63" s="14" t="s">
        <v>30</v>
      </c>
      <c r="E63" s="15">
        <f>-B36</f>
        <v>-9387.955211</v>
      </c>
    </row>
    <row r="64">
      <c r="A64" s="1" t="s">
        <v>53</v>
      </c>
      <c r="B64" s="50">
        <f>-D50</f>
        <v>0</v>
      </c>
      <c r="C64" s="51"/>
      <c r="D64" s="22" t="s">
        <v>53</v>
      </c>
      <c r="E64" s="15">
        <f>-B42</f>
        <v>-2707.17</v>
      </c>
    </row>
    <row r="65">
      <c r="A65" s="1" t="s">
        <v>54</v>
      </c>
      <c r="B65" s="50">
        <f>-B46</f>
        <v>-143.52</v>
      </c>
      <c r="C65" s="51"/>
      <c r="D65" s="22" t="s">
        <v>54</v>
      </c>
      <c r="E65" s="15">
        <f>-B46</f>
        <v>-143.52</v>
      </c>
    </row>
    <row r="66">
      <c r="A66" s="1" t="s">
        <v>42</v>
      </c>
      <c r="B66" s="50">
        <f>-B49</f>
        <v>-1392.44</v>
      </c>
      <c r="C66" s="51"/>
      <c r="D66" s="22" t="s">
        <v>42</v>
      </c>
      <c r="E66" s="15">
        <f>-B49</f>
        <v>-1392.44</v>
      </c>
    </row>
    <row r="67">
      <c r="A67" s="3" t="s">
        <v>55</v>
      </c>
      <c r="B67" s="50">
        <f t="shared" ref="B67:B68" si="11">-B54</f>
        <v>-27</v>
      </c>
      <c r="C67" s="51"/>
      <c r="D67" s="14" t="s">
        <v>55</v>
      </c>
      <c r="E67" s="15">
        <f t="shared" ref="E67:E68" si="12">-B54</f>
        <v>-27</v>
      </c>
    </row>
    <row r="68">
      <c r="A68" s="3" t="s">
        <v>48</v>
      </c>
      <c r="B68" s="50">
        <f t="shared" si="11"/>
        <v>-396</v>
      </c>
      <c r="C68" s="51"/>
      <c r="D68" s="14" t="s">
        <v>48</v>
      </c>
      <c r="E68" s="15">
        <f t="shared" si="12"/>
        <v>-396</v>
      </c>
    </row>
    <row r="69">
      <c r="A69" s="5" t="s">
        <v>56</v>
      </c>
      <c r="B69" s="52">
        <f>SUM(B61:B68)</f>
        <v>-11394.91521</v>
      </c>
      <c r="C69" s="53"/>
      <c r="D69" s="54" t="s">
        <v>56</v>
      </c>
      <c r="E69" s="55">
        <f>SUM(E61:E68)</f>
        <v>-14102.08521</v>
      </c>
    </row>
    <row r="70">
      <c r="D70" s="56"/>
      <c r="E70" s="56"/>
    </row>
    <row r="71">
      <c r="A71" s="3" t="s">
        <v>57</v>
      </c>
      <c r="B71" s="57">
        <f>B69</f>
        <v>-11394.91521</v>
      </c>
      <c r="D71" s="14" t="s">
        <v>57</v>
      </c>
      <c r="E71" s="16">
        <f>E69</f>
        <v>-14102.08521</v>
      </c>
    </row>
    <row r="72">
      <c r="A72" s="3" t="s">
        <v>7</v>
      </c>
      <c r="B72" s="9">
        <v>0.42</v>
      </c>
      <c r="D72" s="14" t="s">
        <v>7</v>
      </c>
      <c r="E72" s="29">
        <v>0.42</v>
      </c>
      <c r="F72" s="58"/>
    </row>
    <row r="73">
      <c r="A73" s="5" t="s">
        <v>58</v>
      </c>
      <c r="B73" s="59">
        <f>B71*B72</f>
        <v>-4785.864389</v>
      </c>
      <c r="D73" s="54" t="s">
        <v>58</v>
      </c>
      <c r="E73" s="60">
        <f>E71*E72</f>
        <v>-5922.875789</v>
      </c>
    </row>
    <row r="74">
      <c r="A74" s="3" t="s">
        <v>59</v>
      </c>
      <c r="B74" s="61">
        <f>-B73/11</f>
        <v>435.0785808</v>
      </c>
      <c r="D74" s="14" t="s">
        <v>59</v>
      </c>
      <c r="E74" s="62">
        <f>-E73/11</f>
        <v>538.4432535</v>
      </c>
    </row>
    <row r="76">
      <c r="A76" s="25" t="s">
        <v>60</v>
      </c>
    </row>
    <row r="77">
      <c r="A77" s="63" t="s">
        <v>51</v>
      </c>
      <c r="B77" s="12" t="s">
        <v>15</v>
      </c>
      <c r="C77" s="25"/>
      <c r="D77" s="13"/>
      <c r="E77" s="13"/>
    </row>
    <row r="78">
      <c r="A78" s="28" t="s">
        <v>52</v>
      </c>
      <c r="B78" s="23">
        <f>B5</f>
        <v>999</v>
      </c>
      <c r="C78" s="64"/>
      <c r="D78" s="17"/>
      <c r="E78" s="64"/>
    </row>
    <row r="79">
      <c r="A79" s="28" t="s">
        <v>11</v>
      </c>
      <c r="B79" s="23">
        <v>-1242.85</v>
      </c>
      <c r="C79" s="64"/>
      <c r="D79" s="17"/>
      <c r="E79" s="64"/>
    </row>
    <row r="80">
      <c r="A80" s="28" t="s">
        <v>42</v>
      </c>
      <c r="B80" s="23">
        <f>-C49</f>
        <v>-116.0366667</v>
      </c>
      <c r="C80" s="64"/>
      <c r="D80" s="17"/>
      <c r="E80" s="64"/>
    </row>
    <row r="81">
      <c r="A81" s="28" t="s">
        <v>53</v>
      </c>
      <c r="B81" s="23">
        <f>-D50</f>
        <v>0</v>
      </c>
      <c r="C81" s="64"/>
      <c r="D81" s="17"/>
      <c r="E81" s="64"/>
    </row>
    <row r="82">
      <c r="A82" s="28" t="s">
        <v>54</v>
      </c>
      <c r="B82" s="23">
        <f>-C46</f>
        <v>-11.96</v>
      </c>
      <c r="C82" s="64"/>
      <c r="D82" s="17"/>
      <c r="E82" s="64"/>
    </row>
    <row r="83">
      <c r="A83" s="28" t="s">
        <v>48</v>
      </c>
      <c r="B83" s="23">
        <f>-C55</f>
        <v>-33</v>
      </c>
      <c r="C83" s="64"/>
      <c r="D83" s="17"/>
      <c r="E83" s="64"/>
    </row>
    <row r="84">
      <c r="A84" s="28" t="s">
        <v>61</v>
      </c>
      <c r="B84" s="23">
        <v>0.0</v>
      </c>
      <c r="C84" s="64"/>
      <c r="D84" s="17"/>
      <c r="E84" s="64"/>
    </row>
    <row r="85">
      <c r="A85" s="28" t="s">
        <v>55</v>
      </c>
      <c r="B85" s="23">
        <f>-C54</f>
        <v>-2.25</v>
      </c>
      <c r="C85" s="64"/>
      <c r="D85" s="17"/>
      <c r="E85" s="64"/>
    </row>
    <row r="86">
      <c r="A86" s="28" t="s">
        <v>62</v>
      </c>
      <c r="B86" s="23">
        <f>-C51</f>
        <v>-16.41333333</v>
      </c>
      <c r="C86" s="64"/>
      <c r="D86" s="17"/>
      <c r="E86" s="64"/>
    </row>
    <row r="87">
      <c r="A87" s="30" t="s">
        <v>63</v>
      </c>
      <c r="B87" s="27">
        <f>SUM(B78:B86)</f>
        <v>-423.51</v>
      </c>
      <c r="C87" s="65"/>
      <c r="D87" s="66"/>
      <c r="E87" s="65"/>
    </row>
    <row r="90">
      <c r="A90" s="63" t="s">
        <v>51</v>
      </c>
      <c r="B90" s="12" t="s">
        <v>15</v>
      </c>
      <c r="C90" s="13"/>
      <c r="D90" s="13"/>
      <c r="E90" s="13"/>
    </row>
    <row r="91">
      <c r="A91" s="28" t="s">
        <v>63</v>
      </c>
      <c r="B91" s="16">
        <f>B87</f>
        <v>-423.51</v>
      </c>
      <c r="C91" s="17"/>
      <c r="D91" s="17"/>
      <c r="E91" s="17"/>
    </row>
    <row r="92">
      <c r="A92" s="28" t="s">
        <v>64</v>
      </c>
      <c r="B92" s="62">
        <f>B74</f>
        <v>435.0785808</v>
      </c>
      <c r="C92" s="67"/>
      <c r="D92" s="17"/>
      <c r="E92" s="17"/>
    </row>
    <row r="93">
      <c r="A93" s="30" t="s">
        <v>65</v>
      </c>
      <c r="B93" s="68">
        <f>B91+B92</f>
        <v>11.56858078</v>
      </c>
      <c r="C93" s="66"/>
      <c r="D93" s="66"/>
      <c r="E93" s="66"/>
    </row>
    <row r="97">
      <c r="A97" s="25" t="s">
        <v>66</v>
      </c>
    </row>
    <row r="98">
      <c r="A98" s="63" t="s">
        <v>51</v>
      </c>
      <c r="B98" s="69" t="s">
        <v>67</v>
      </c>
      <c r="C98" s="69" t="s">
        <v>68</v>
      </c>
      <c r="D98" s="69" t="s">
        <v>69</v>
      </c>
      <c r="E98" s="69" t="s">
        <v>70</v>
      </c>
      <c r="F98" s="69" t="s">
        <v>71</v>
      </c>
      <c r="G98" s="69" t="s">
        <v>72</v>
      </c>
      <c r="H98" s="70" t="s">
        <v>73</v>
      </c>
      <c r="I98" s="24" t="s">
        <v>74</v>
      </c>
    </row>
    <row r="99">
      <c r="A99" s="28" t="s">
        <v>52</v>
      </c>
      <c r="B99" s="23">
        <f t="shared" ref="B99:G99" si="13">$B$5</f>
        <v>999</v>
      </c>
      <c r="C99" s="23">
        <f t="shared" si="13"/>
        <v>999</v>
      </c>
      <c r="D99" s="23">
        <f t="shared" si="13"/>
        <v>999</v>
      </c>
      <c r="E99" s="23">
        <f t="shared" si="13"/>
        <v>999</v>
      </c>
      <c r="F99" s="23">
        <f t="shared" si="13"/>
        <v>999</v>
      </c>
      <c r="G99" s="23">
        <f t="shared" si="13"/>
        <v>999</v>
      </c>
      <c r="I99" s="65">
        <f t="shared" ref="I99:I108" si="14">SUM(B99:H99)</f>
        <v>5994</v>
      </c>
    </row>
    <row r="100">
      <c r="A100" s="28" t="s">
        <v>11</v>
      </c>
      <c r="B100" s="23">
        <v>-1242.85</v>
      </c>
      <c r="C100" s="23">
        <v>-1242.85</v>
      </c>
      <c r="D100" s="23">
        <v>-1242.85</v>
      </c>
      <c r="E100" s="23">
        <v>-1242.85</v>
      </c>
      <c r="F100" s="23">
        <v>-1242.85</v>
      </c>
      <c r="G100" s="23">
        <v>-1242.85</v>
      </c>
      <c r="I100" s="65">
        <f t="shared" si="14"/>
        <v>-7457.1</v>
      </c>
    </row>
    <row r="101">
      <c r="A101" s="28" t="s">
        <v>42</v>
      </c>
      <c r="B101" s="23">
        <f t="shared" ref="B101:G101" si="15">-$C$49</f>
        <v>-116.0366667</v>
      </c>
      <c r="C101" s="23">
        <f t="shared" si="15"/>
        <v>-116.0366667</v>
      </c>
      <c r="D101" s="23">
        <f t="shared" si="15"/>
        <v>-116.0366667</v>
      </c>
      <c r="E101" s="23">
        <f t="shared" si="15"/>
        <v>-116.0366667</v>
      </c>
      <c r="F101" s="23">
        <f t="shared" si="15"/>
        <v>-116.0366667</v>
      </c>
      <c r="G101" s="23">
        <f t="shared" si="15"/>
        <v>-116.0366667</v>
      </c>
      <c r="I101" s="65">
        <f t="shared" si="14"/>
        <v>-696.22</v>
      </c>
    </row>
    <row r="102">
      <c r="A102" s="71" t="s">
        <v>53</v>
      </c>
      <c r="B102" s="72">
        <f t="shared" ref="B102:E102" si="16">-$C$42</f>
        <v>-225.5975</v>
      </c>
      <c r="C102" s="72">
        <f t="shared" si="16"/>
        <v>-225.5975</v>
      </c>
      <c r="D102" s="72">
        <f t="shared" si="16"/>
        <v>-225.5975</v>
      </c>
      <c r="E102" s="72">
        <f t="shared" si="16"/>
        <v>-225.5975</v>
      </c>
      <c r="F102" s="72">
        <f>-$C$42/2</f>
        <v>-112.79875</v>
      </c>
      <c r="G102" s="72">
        <v>0.0</v>
      </c>
      <c r="I102" s="65">
        <f t="shared" si="14"/>
        <v>-1015.18875</v>
      </c>
    </row>
    <row r="103">
      <c r="A103" s="28" t="s">
        <v>54</v>
      </c>
      <c r="B103" s="23">
        <f t="shared" ref="B103:G103" si="17">-$C$46</f>
        <v>-11.96</v>
      </c>
      <c r="C103" s="23">
        <f t="shared" si="17"/>
        <v>-11.96</v>
      </c>
      <c r="D103" s="23">
        <f t="shared" si="17"/>
        <v>-11.96</v>
      </c>
      <c r="E103" s="23">
        <f t="shared" si="17"/>
        <v>-11.96</v>
      </c>
      <c r="F103" s="23">
        <f t="shared" si="17"/>
        <v>-11.96</v>
      </c>
      <c r="G103" s="23">
        <f t="shared" si="17"/>
        <v>-11.96</v>
      </c>
      <c r="I103" s="65">
        <f t="shared" si="14"/>
        <v>-71.76</v>
      </c>
    </row>
    <row r="104">
      <c r="A104" s="28" t="s">
        <v>48</v>
      </c>
      <c r="B104" s="23">
        <f t="shared" ref="B104:G104" si="18">-$C$55</f>
        <v>-33</v>
      </c>
      <c r="C104" s="23">
        <f t="shared" si="18"/>
        <v>-33</v>
      </c>
      <c r="D104" s="23">
        <f t="shared" si="18"/>
        <v>-33</v>
      </c>
      <c r="E104" s="23">
        <f t="shared" si="18"/>
        <v>-33</v>
      </c>
      <c r="F104" s="23">
        <f t="shared" si="18"/>
        <v>-33</v>
      </c>
      <c r="G104" s="23">
        <f t="shared" si="18"/>
        <v>-33</v>
      </c>
      <c r="I104" s="65">
        <f t="shared" si="14"/>
        <v>-198</v>
      </c>
    </row>
    <row r="105">
      <c r="A105" s="71" t="s">
        <v>61</v>
      </c>
      <c r="B105" s="72">
        <f t="shared" ref="B105:E105" si="19">-$C$53</f>
        <v>-14.84333333</v>
      </c>
      <c r="C105" s="72">
        <f t="shared" si="19"/>
        <v>-14.84333333</v>
      </c>
      <c r="D105" s="72">
        <f t="shared" si="19"/>
        <v>-14.84333333</v>
      </c>
      <c r="E105" s="72">
        <f t="shared" si="19"/>
        <v>-14.84333333</v>
      </c>
      <c r="F105" s="72">
        <f>-$C$53/2</f>
        <v>-7.421666667</v>
      </c>
      <c r="G105" s="72">
        <v>0.0</v>
      </c>
      <c r="I105" s="65">
        <f t="shared" si="14"/>
        <v>-66.795</v>
      </c>
    </row>
    <row r="106">
      <c r="A106" s="28" t="s">
        <v>55</v>
      </c>
      <c r="B106" s="23">
        <f t="shared" ref="B106:G106" si="20">-$C$54</f>
        <v>-2.25</v>
      </c>
      <c r="C106" s="23">
        <f t="shared" si="20"/>
        <v>-2.25</v>
      </c>
      <c r="D106" s="23">
        <f t="shared" si="20"/>
        <v>-2.25</v>
      </c>
      <c r="E106" s="23">
        <f t="shared" si="20"/>
        <v>-2.25</v>
      </c>
      <c r="F106" s="23">
        <f t="shared" si="20"/>
        <v>-2.25</v>
      </c>
      <c r="G106" s="23">
        <f t="shared" si="20"/>
        <v>-2.25</v>
      </c>
      <c r="I106" s="65">
        <f t="shared" si="14"/>
        <v>-13.5</v>
      </c>
    </row>
    <row r="107">
      <c r="A107" s="28" t="s">
        <v>62</v>
      </c>
      <c r="B107" s="23">
        <f t="shared" ref="B107:G107" si="21">-$C$51</f>
        <v>-16.41333333</v>
      </c>
      <c r="C107" s="23">
        <f t="shared" si="21"/>
        <v>-16.41333333</v>
      </c>
      <c r="D107" s="23">
        <f t="shared" si="21"/>
        <v>-16.41333333</v>
      </c>
      <c r="E107" s="23">
        <f t="shared" si="21"/>
        <v>-16.41333333</v>
      </c>
      <c r="F107" s="23">
        <f t="shared" si="21"/>
        <v>-16.41333333</v>
      </c>
      <c r="G107" s="23">
        <f t="shared" si="21"/>
        <v>-16.41333333</v>
      </c>
      <c r="I107" s="65">
        <f t="shared" si="14"/>
        <v>-98.48</v>
      </c>
    </row>
    <row r="108">
      <c r="A108" s="30" t="s">
        <v>63</v>
      </c>
      <c r="B108" s="27">
        <f t="shared" ref="B108:G108" si="22">SUM(B99:B107)</f>
        <v>-663.9508333</v>
      </c>
      <c r="C108" s="27">
        <f t="shared" si="22"/>
        <v>-663.9508333</v>
      </c>
      <c r="D108" s="27">
        <f t="shared" si="22"/>
        <v>-663.9508333</v>
      </c>
      <c r="E108" s="27">
        <f t="shared" si="22"/>
        <v>-663.9508333</v>
      </c>
      <c r="F108" s="27">
        <f t="shared" si="22"/>
        <v>-543.7304167</v>
      </c>
      <c r="G108" s="27">
        <f t="shared" si="22"/>
        <v>-423.51</v>
      </c>
      <c r="I108" s="65">
        <f t="shared" si="14"/>
        <v>-3623.04375</v>
      </c>
    </row>
    <row r="110">
      <c r="A110" s="63" t="s">
        <v>51</v>
      </c>
      <c r="B110" s="12" t="s">
        <v>15</v>
      </c>
      <c r="C110" s="12" t="s">
        <v>15</v>
      </c>
      <c r="D110" s="12" t="s">
        <v>15</v>
      </c>
      <c r="E110" s="12" t="s">
        <v>15</v>
      </c>
      <c r="F110" s="12" t="s">
        <v>15</v>
      </c>
      <c r="G110" s="12" t="s">
        <v>15</v>
      </c>
      <c r="H110" s="70" t="s">
        <v>73</v>
      </c>
      <c r="I110" s="24" t="s">
        <v>74</v>
      </c>
    </row>
    <row r="111">
      <c r="A111" s="28" t="s">
        <v>63</v>
      </c>
      <c r="B111" s="16">
        <f t="shared" ref="B111:G111" si="23">B108</f>
        <v>-663.9508333</v>
      </c>
      <c r="C111" s="16">
        <f t="shared" si="23"/>
        <v>-663.9508333</v>
      </c>
      <c r="D111" s="16">
        <f t="shared" si="23"/>
        <v>-663.9508333</v>
      </c>
      <c r="E111" s="16">
        <f t="shared" si="23"/>
        <v>-663.9508333</v>
      </c>
      <c r="F111" s="16">
        <f t="shared" si="23"/>
        <v>-543.7304167</v>
      </c>
      <c r="G111" s="16">
        <f t="shared" si="23"/>
        <v>-423.51</v>
      </c>
      <c r="H111" s="27">
        <f t="shared" ref="H111:H113" si="25">AVERAGE(B111:G111)</f>
        <v>-603.840625</v>
      </c>
      <c r="I111" s="27">
        <f t="shared" ref="I111:I113" si="26">SUM(B111:G111)</f>
        <v>-3623.04375</v>
      </c>
    </row>
    <row r="112">
      <c r="A112" s="28" t="s">
        <v>64</v>
      </c>
      <c r="B112" s="62">
        <f t="shared" ref="B112:E112" si="24">$E$74</f>
        <v>538.4432535</v>
      </c>
      <c r="C112" s="62">
        <f t="shared" si="24"/>
        <v>538.4432535</v>
      </c>
      <c r="D112" s="62">
        <f t="shared" si="24"/>
        <v>538.4432535</v>
      </c>
      <c r="E112" s="62">
        <f t="shared" si="24"/>
        <v>538.4432535</v>
      </c>
      <c r="F112" s="14">
        <v>442.0</v>
      </c>
      <c r="G112" s="62">
        <f>$B$74</f>
        <v>435.0785808</v>
      </c>
      <c r="H112" s="73">
        <f t="shared" si="25"/>
        <v>505.1419325</v>
      </c>
      <c r="I112" s="73">
        <f t="shared" si="26"/>
        <v>3030.851595</v>
      </c>
    </row>
    <row r="113">
      <c r="A113" s="30" t="s">
        <v>65</v>
      </c>
      <c r="B113" s="68">
        <f t="shared" ref="B113:G113" si="27">B111+B112</f>
        <v>-125.5075798</v>
      </c>
      <c r="C113" s="68">
        <f t="shared" si="27"/>
        <v>-125.5075798</v>
      </c>
      <c r="D113" s="68">
        <f t="shared" si="27"/>
        <v>-125.5075798</v>
      </c>
      <c r="E113" s="68">
        <f t="shared" si="27"/>
        <v>-125.5075798</v>
      </c>
      <c r="F113" s="68">
        <f t="shared" si="27"/>
        <v>-101.7304167</v>
      </c>
      <c r="G113" s="68">
        <f t="shared" si="27"/>
        <v>11.56858078</v>
      </c>
      <c r="H113" s="34">
        <f t="shared" si="25"/>
        <v>-98.69869253</v>
      </c>
      <c r="I113" s="34">
        <f t="shared" si="26"/>
        <v>-592.1921552</v>
      </c>
    </row>
    <row r="114">
      <c r="A114" s="66"/>
      <c r="B114" s="66"/>
      <c r="C114" s="66"/>
      <c r="D114" s="66"/>
      <c r="E114" s="66"/>
      <c r="F114" s="66"/>
      <c r="G114" s="66"/>
    </row>
  </sheetData>
  <drawing r:id="rId1"/>
</worksheet>
</file>